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arly\Desktop\Rowan University\Fall 2025 Courses (S3)\Computer Integrated Manufacturing and Automation\HW 4 Files\"/>
    </mc:Choice>
  </mc:AlternateContent>
  <xr:revisionPtr revIDLastSave="0" documentId="13_ncr:1_{319C24AA-DA60-4BF6-9003-BE831DDE298E}" xr6:coauthVersionLast="47" xr6:coauthVersionMax="47" xr10:uidLastSave="{00000000-0000-0000-0000-000000000000}"/>
  <bookViews>
    <workbookView xWindow="-108" yWindow="-108" windowWidth="23256" windowHeight="13896" xr2:uid="{8A6F2AA0-C451-4A9A-AAAD-FDBDF1BCC8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1" l="1"/>
  <c r="G23" i="1"/>
</calcChain>
</file>

<file path=xl/sharedStrings.xml><?xml version="1.0" encoding="utf-8"?>
<sst xmlns="http://schemas.openxmlformats.org/spreadsheetml/2006/main" count="78" uniqueCount="71">
  <si>
    <t>Fan Design Bill Of Materials</t>
  </si>
  <si>
    <t>Non-standard Parts</t>
  </si>
  <si>
    <t>Fan Cover (Front)</t>
  </si>
  <si>
    <t>Fan Cover (Back)</t>
  </si>
  <si>
    <t>Fan Motor Holder</t>
  </si>
  <si>
    <t>Leg (Back)</t>
  </si>
  <si>
    <t>Fan Blades</t>
  </si>
  <si>
    <t>6V Battery Holder Cover</t>
  </si>
  <si>
    <t>Standard Parts</t>
  </si>
  <si>
    <t>8-32 Nut</t>
  </si>
  <si>
    <t>4-40 Nut</t>
  </si>
  <si>
    <t>6V Battery Holder</t>
  </si>
  <si>
    <t>Ball Bearing</t>
  </si>
  <si>
    <t>Fan Motor</t>
  </si>
  <si>
    <t>Leg (Left/Right)</t>
  </si>
  <si>
    <t>Description</t>
  </si>
  <si>
    <t>Houses the 6V Battery Pack</t>
  </si>
  <si>
    <t>Keeps fan blade fixed while allowing the blades to spin</t>
  </si>
  <si>
    <t>Spins fan blades to generate air flow</t>
  </si>
  <si>
    <t>Creates a pressure difference to cool an area</t>
  </si>
  <si>
    <t>Contains/protects fan blades, motor, and wiring from being damaged and harming others</t>
  </si>
  <si>
    <t>Stabilizes fan motor to function properly</t>
  </si>
  <si>
    <t>Balances fan to prevent it from falling backwards</t>
  </si>
  <si>
    <t>Prevents fan from tilting left and right</t>
  </si>
  <si>
    <t>Holds 4, AA batteries to power the fan</t>
  </si>
  <si>
    <t>Holds the fan covers and the  battery holder cover together</t>
  </si>
  <si>
    <t>Fixes the battery holder cover to the battery holder</t>
  </si>
  <si>
    <t>Number of Material Needed</t>
  </si>
  <si>
    <t>Cost</t>
  </si>
  <si>
    <t>Price of Printitng Material</t>
  </si>
  <si>
    <t>Link to Material</t>
  </si>
  <si>
    <t>https://a.co/d/eGHanlX</t>
  </si>
  <si>
    <t>https://a.co/d/hUAFNOb</t>
  </si>
  <si>
    <t>Subt Total</t>
  </si>
  <si>
    <t>Price for 1 Fan</t>
  </si>
  <si>
    <t>4-40 (1/2in) Screw</t>
  </si>
  <si>
    <t>Connects to 4-40 (1/2in) screw to help fix the battery holder cover to the battery holder</t>
  </si>
  <si>
    <t>8-32 (1-1/4in) Screw</t>
  </si>
  <si>
    <t>Connects to 8-32 (1-1/4in) screw to fix the fan covers and battery holder cover</t>
  </si>
  <si>
    <t>https://a.co/d/1CPAKC8</t>
  </si>
  <si>
    <t>https://a.co/d/2omPfTx</t>
  </si>
  <si>
    <t>https://a.co/d/hlfoiVE</t>
  </si>
  <si>
    <t>https://a.co/d/6TvK043</t>
  </si>
  <si>
    <t>https://a.co/d/5ygaejE</t>
  </si>
  <si>
    <t>On/Off Switch</t>
  </si>
  <si>
    <t>Turns the fan on and off</t>
  </si>
  <si>
    <t>https://a.co/d/5eCn5J0</t>
  </si>
  <si>
    <t>PLA</t>
  </si>
  <si>
    <t>https://a.co/d/dhO9ojW</t>
  </si>
  <si>
    <t>$13.99 per 1kg</t>
  </si>
  <si>
    <t>Part Number / MPN</t>
  </si>
  <si>
    <t>SolidWorks Drawing Number</t>
  </si>
  <si>
    <t>0408MPP188</t>
  </si>
  <si>
    <t>CF-790</t>
  </si>
  <si>
    <t>6V Motor</t>
  </si>
  <si>
    <t>B0BZD7SYQG</t>
  </si>
  <si>
    <t>AB900506</t>
  </si>
  <si>
    <t>SUVELAM</t>
  </si>
  <si>
    <t>Battery Pack</t>
  </si>
  <si>
    <t>B07T7MTRZX</t>
  </si>
  <si>
    <t>Bearing</t>
  </si>
  <si>
    <t>B073SP7TN1</t>
  </si>
  <si>
    <t>B07S2QJKTX</t>
  </si>
  <si>
    <t>Non-Standard Parts</t>
  </si>
  <si>
    <t>Battery Holder</t>
  </si>
  <si>
    <t>Blade Cover (Back)</t>
  </si>
  <si>
    <t>Blade Cover (Front)</t>
  </si>
  <si>
    <t>Fan Blade</t>
  </si>
  <si>
    <t>Motor Clip</t>
  </si>
  <si>
    <t>Stand (Left)</t>
  </si>
  <si>
    <t>Stand (Right)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</si>
</sst>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color rgb="FF0F11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1"/>
    <xf numFmtId="8" fontId="0" fillId="0" borderId="0" xfId="0" applyNumberFormat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.co/d/5eCn5J0" TargetMode="External"/><Relationship Id="rId3" Type="http://schemas.openxmlformats.org/officeDocument/2006/relationships/hyperlink" Target="https://a.co/d/2omPfTx" TargetMode="External"/><Relationship Id="rId7" Type="http://schemas.openxmlformats.org/officeDocument/2006/relationships/hyperlink" Target="https://a.co/d/eGHanlX" TargetMode="External"/><Relationship Id="rId2" Type="http://schemas.openxmlformats.org/officeDocument/2006/relationships/hyperlink" Target="https://a.co/d/1CPAKC8" TargetMode="External"/><Relationship Id="rId1" Type="http://schemas.openxmlformats.org/officeDocument/2006/relationships/hyperlink" Target="https://a.co/d/hUAFNOb" TargetMode="External"/><Relationship Id="rId6" Type="http://schemas.openxmlformats.org/officeDocument/2006/relationships/hyperlink" Target="https://a.co/d/5ygaejE" TargetMode="External"/><Relationship Id="rId5" Type="http://schemas.openxmlformats.org/officeDocument/2006/relationships/hyperlink" Target="https://a.co/d/6TvK043" TargetMode="External"/><Relationship Id="rId4" Type="http://schemas.openxmlformats.org/officeDocument/2006/relationships/hyperlink" Target="https://a.co/d/hlfoiVE" TargetMode="External"/><Relationship Id="rId9" Type="http://schemas.openxmlformats.org/officeDocument/2006/relationships/hyperlink" Target="https://a.co/d/dhO9oj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F1762-6A96-4605-86FD-A78B9EBC2B9F}">
  <dimension ref="C4:L26"/>
  <sheetViews>
    <sheetView tabSelected="1" topLeftCell="A4" zoomScale="70" zoomScaleNormal="70" workbookViewId="0">
      <selection activeCell="O16" sqref="O16"/>
    </sheetView>
  </sheetViews>
  <sheetFormatPr defaultRowHeight="14.4" x14ac:dyDescent="0.3"/>
  <cols>
    <col min="3" max="3" width="13.88671875" customWidth="1"/>
    <col min="4" max="4" width="23.21875" customWidth="1"/>
    <col min="5" max="5" width="24.33203125" customWidth="1"/>
    <col min="6" max="6" width="23.6640625" customWidth="1"/>
    <col min="7" max="7" width="21.5546875" customWidth="1"/>
    <col min="8" max="8" width="21.109375" customWidth="1"/>
    <col min="10" max="10" width="21.21875" customWidth="1"/>
    <col min="11" max="11" width="20.109375" customWidth="1"/>
    <col min="12" max="12" width="25.109375" customWidth="1"/>
  </cols>
  <sheetData>
    <row r="4" spans="4:12" x14ac:dyDescent="0.3">
      <c r="D4" t="s">
        <v>0</v>
      </c>
      <c r="E4" t="s">
        <v>15</v>
      </c>
      <c r="F4" t="s">
        <v>27</v>
      </c>
      <c r="G4" t="s">
        <v>28</v>
      </c>
      <c r="J4" t="s">
        <v>8</v>
      </c>
      <c r="K4" t="s">
        <v>50</v>
      </c>
      <c r="L4" t="s">
        <v>51</v>
      </c>
    </row>
    <row r="5" spans="4:12" x14ac:dyDescent="0.3">
      <c r="D5" s="1" t="s">
        <v>1</v>
      </c>
      <c r="G5" t="s">
        <v>29</v>
      </c>
      <c r="J5" t="s">
        <v>35</v>
      </c>
      <c r="K5" t="s">
        <v>52</v>
      </c>
      <c r="L5">
        <v>1</v>
      </c>
    </row>
    <row r="6" spans="4:12" ht="22.2" customHeight="1" x14ac:dyDescent="0.3">
      <c r="D6" t="s">
        <v>7</v>
      </c>
      <c r="E6" s="2" t="s">
        <v>16</v>
      </c>
      <c r="F6">
        <v>1</v>
      </c>
      <c r="G6" s="4">
        <v>0.59</v>
      </c>
      <c r="J6" t="s">
        <v>10</v>
      </c>
      <c r="K6" s="5" t="s">
        <v>53</v>
      </c>
      <c r="L6">
        <v>2</v>
      </c>
    </row>
    <row r="7" spans="4:12" ht="27.6" customHeight="1" x14ac:dyDescent="0.3">
      <c r="D7" t="s">
        <v>6</v>
      </c>
      <c r="E7" s="2" t="s">
        <v>19</v>
      </c>
      <c r="F7">
        <v>1</v>
      </c>
      <c r="G7" s="4">
        <v>0.31</v>
      </c>
      <c r="J7" t="s">
        <v>54</v>
      </c>
      <c r="K7" t="s">
        <v>55</v>
      </c>
      <c r="L7">
        <v>3</v>
      </c>
    </row>
    <row r="8" spans="4:12" ht="60.6" customHeight="1" x14ac:dyDescent="0.3">
      <c r="D8" t="s">
        <v>3</v>
      </c>
      <c r="E8" s="2" t="s">
        <v>20</v>
      </c>
      <c r="F8">
        <v>1</v>
      </c>
      <c r="G8" s="4">
        <v>1.52</v>
      </c>
      <c r="J8" t="s">
        <v>37</v>
      </c>
      <c r="K8" t="s">
        <v>56</v>
      </c>
      <c r="L8">
        <v>4</v>
      </c>
    </row>
    <row r="9" spans="4:12" ht="57.6" x14ac:dyDescent="0.3">
      <c r="D9" t="s">
        <v>2</v>
      </c>
      <c r="E9" s="2" t="s">
        <v>20</v>
      </c>
      <c r="F9">
        <v>1</v>
      </c>
      <c r="G9" s="4">
        <v>1.17</v>
      </c>
      <c r="J9" t="s">
        <v>9</v>
      </c>
      <c r="K9" s="5" t="s">
        <v>57</v>
      </c>
      <c r="L9">
        <v>5</v>
      </c>
    </row>
    <row r="10" spans="4:12" ht="30.6" customHeight="1" x14ac:dyDescent="0.3">
      <c r="D10" t="s">
        <v>4</v>
      </c>
      <c r="E10" s="2" t="s">
        <v>21</v>
      </c>
      <c r="F10">
        <v>1</v>
      </c>
      <c r="G10" s="4">
        <v>0.12</v>
      </c>
      <c r="J10" t="s">
        <v>58</v>
      </c>
      <c r="K10" t="s">
        <v>59</v>
      </c>
      <c r="L10">
        <v>6</v>
      </c>
    </row>
    <row r="11" spans="4:12" ht="32.4" customHeight="1" x14ac:dyDescent="0.3">
      <c r="D11" t="s">
        <v>5</v>
      </c>
      <c r="E11" s="2" t="s">
        <v>22</v>
      </c>
      <c r="F11">
        <v>1</v>
      </c>
      <c r="G11" s="4">
        <v>0.09</v>
      </c>
      <c r="J11" t="s">
        <v>60</v>
      </c>
      <c r="K11" t="s">
        <v>61</v>
      </c>
      <c r="L11">
        <v>7</v>
      </c>
    </row>
    <row r="12" spans="4:12" ht="34.200000000000003" customHeight="1" x14ac:dyDescent="0.3">
      <c r="D12" t="s">
        <v>14</v>
      </c>
      <c r="E12" s="2" t="s">
        <v>23</v>
      </c>
      <c r="F12">
        <v>2</v>
      </c>
      <c r="G12" s="4">
        <v>0.19</v>
      </c>
      <c r="J12" t="s">
        <v>44</v>
      </c>
      <c r="K12" t="s">
        <v>62</v>
      </c>
      <c r="L12">
        <v>8</v>
      </c>
    </row>
    <row r="13" spans="4:12" ht="22.2" customHeight="1" x14ac:dyDescent="0.3">
      <c r="D13" s="1" t="s">
        <v>8</v>
      </c>
      <c r="E13" s="2"/>
      <c r="H13" t="s">
        <v>30</v>
      </c>
    </row>
    <row r="14" spans="4:12" ht="32.4" customHeight="1" x14ac:dyDescent="0.3">
      <c r="D14" t="s">
        <v>35</v>
      </c>
      <c r="E14" s="2" t="s">
        <v>26</v>
      </c>
      <c r="F14">
        <v>4</v>
      </c>
      <c r="G14" s="4">
        <v>13.18</v>
      </c>
      <c r="H14" s="3" t="s">
        <v>40</v>
      </c>
      <c r="J14" t="s">
        <v>63</v>
      </c>
    </row>
    <row r="15" spans="4:12" ht="58.8" customHeight="1" x14ac:dyDescent="0.3">
      <c r="D15" t="s">
        <v>10</v>
      </c>
      <c r="E15" s="2" t="s">
        <v>36</v>
      </c>
      <c r="F15">
        <v>4</v>
      </c>
      <c r="G15" s="4">
        <v>5.99</v>
      </c>
      <c r="H15" s="3" t="s">
        <v>42</v>
      </c>
      <c r="J15" t="s">
        <v>64</v>
      </c>
      <c r="L15">
        <v>9</v>
      </c>
    </row>
    <row r="16" spans="4:12" ht="30" customHeight="1" x14ac:dyDescent="0.3">
      <c r="D16" t="s">
        <v>11</v>
      </c>
      <c r="E16" s="2" t="s">
        <v>24</v>
      </c>
      <c r="F16">
        <v>1</v>
      </c>
      <c r="G16" s="4">
        <v>5.98</v>
      </c>
      <c r="H16" s="3" t="s">
        <v>46</v>
      </c>
      <c r="J16" t="s">
        <v>65</v>
      </c>
      <c r="L16">
        <v>10</v>
      </c>
    </row>
    <row r="17" spans="3:12" ht="30" customHeight="1" x14ac:dyDescent="0.3">
      <c r="D17" t="s">
        <v>37</v>
      </c>
      <c r="E17" s="2" t="s">
        <v>25</v>
      </c>
      <c r="F17">
        <v>2</v>
      </c>
      <c r="G17" s="4">
        <v>7.99</v>
      </c>
      <c r="H17" s="3" t="s">
        <v>39</v>
      </c>
      <c r="J17" t="s">
        <v>66</v>
      </c>
      <c r="L17">
        <v>11</v>
      </c>
    </row>
    <row r="18" spans="3:12" ht="42.6" customHeight="1" x14ac:dyDescent="0.3">
      <c r="D18" t="s">
        <v>9</v>
      </c>
      <c r="E18" s="2" t="s">
        <v>38</v>
      </c>
      <c r="F18">
        <v>2</v>
      </c>
      <c r="G18" s="4">
        <v>8.99</v>
      </c>
      <c r="H18" s="3" t="s">
        <v>41</v>
      </c>
      <c r="J18" t="s">
        <v>67</v>
      </c>
      <c r="L18">
        <v>12</v>
      </c>
    </row>
    <row r="19" spans="3:12" ht="35.4" customHeight="1" x14ac:dyDescent="0.3">
      <c r="D19" t="s">
        <v>12</v>
      </c>
      <c r="E19" s="2" t="s">
        <v>17</v>
      </c>
      <c r="F19">
        <v>1</v>
      </c>
      <c r="G19" s="4">
        <v>9.7899999999999991</v>
      </c>
      <c r="H19" s="3" t="s">
        <v>43</v>
      </c>
      <c r="J19" t="s">
        <v>68</v>
      </c>
      <c r="L19">
        <v>13</v>
      </c>
    </row>
    <row r="20" spans="3:12" ht="28.8" customHeight="1" x14ac:dyDescent="0.3">
      <c r="D20" t="s">
        <v>13</v>
      </c>
      <c r="E20" s="2" t="s">
        <v>18</v>
      </c>
      <c r="F20">
        <v>1</v>
      </c>
      <c r="G20" s="4">
        <v>14.99</v>
      </c>
      <c r="H20" s="3" t="s">
        <v>32</v>
      </c>
      <c r="J20" t="s">
        <v>69</v>
      </c>
      <c r="L20">
        <v>14</v>
      </c>
    </row>
    <row r="21" spans="3:12" ht="20.399999999999999" customHeight="1" x14ac:dyDescent="0.3">
      <c r="D21" t="s">
        <v>44</v>
      </c>
      <c r="E21" s="2" t="s">
        <v>45</v>
      </c>
      <c r="G21" s="4">
        <v>7.99</v>
      </c>
      <c r="H21" s="3" t="s">
        <v>31</v>
      </c>
      <c r="J21" t="s">
        <v>70</v>
      </c>
      <c r="L21">
        <v>15</v>
      </c>
    </row>
    <row r="22" spans="3:12" ht="18.600000000000001" customHeight="1" x14ac:dyDescent="0.3">
      <c r="C22" t="s">
        <v>34</v>
      </c>
      <c r="G22" s="4">
        <f>(((G14*4)/100)+((4*G15)/100)+(G16/2)+((2*G17)/50)+((2*G18)/100)+(G19/20)+(G20/2)+(G21/10))+G6+G7+G8+G9+G10+G11+G12</f>
        <v>17.029700000000002</v>
      </c>
    </row>
    <row r="23" spans="3:12" ht="19.2" customHeight="1" x14ac:dyDescent="0.3">
      <c r="C23" t="s">
        <v>33</v>
      </c>
      <c r="G23" s="4">
        <f>SUM(G6:G21)</f>
        <v>78.889999999999986</v>
      </c>
    </row>
    <row r="25" spans="3:12" x14ac:dyDescent="0.3">
      <c r="C25" t="s">
        <v>47</v>
      </c>
      <c r="D25" t="s">
        <v>49</v>
      </c>
    </row>
    <row r="26" spans="3:12" x14ac:dyDescent="0.3">
      <c r="D26" s="3" t="s">
        <v>48</v>
      </c>
    </row>
  </sheetData>
  <sortState xmlns:xlrd2="http://schemas.microsoft.com/office/spreadsheetml/2017/richdata2" ref="D14:H21">
    <sortCondition ref="D14:D21"/>
  </sortState>
  <hyperlinks>
    <hyperlink ref="H20" r:id="rId1" xr:uid="{2FABD670-A1F0-4028-9C1D-FA4D2F79F3C8}"/>
    <hyperlink ref="H17" r:id="rId2" xr:uid="{FEBD1291-7E97-4D77-8EB0-7ADD24CA2B4C}"/>
    <hyperlink ref="H14" r:id="rId3" xr:uid="{25B02588-13F7-4892-BC5E-82B102666F9E}"/>
    <hyperlink ref="H18" r:id="rId4" xr:uid="{937B9172-94F9-4975-8DCC-41F7C35B8688}"/>
    <hyperlink ref="H15" r:id="rId5" xr:uid="{156DFDD2-D924-4673-A2B1-7BE1C3EE2B90}"/>
    <hyperlink ref="H19" r:id="rId6" xr:uid="{0D954776-F14A-44C1-9637-8AE3792F07B4}"/>
    <hyperlink ref="H21" r:id="rId7" xr:uid="{80896AF5-01A8-4829-9F05-438CCC4314BD}"/>
    <hyperlink ref="H16" r:id="rId8" xr:uid="{0EDEFFCF-A75D-459F-BFE4-06EB32949B54}"/>
    <hyperlink ref="D26" r:id="rId9" xr:uid="{C6C18E99-809D-4A8D-8D0C-187870F0D42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Santilli</dc:creator>
  <cp:lastModifiedBy>Gregory Santilli</cp:lastModifiedBy>
  <dcterms:created xsi:type="dcterms:W3CDTF">2025-11-07T17:50:17Z</dcterms:created>
  <dcterms:modified xsi:type="dcterms:W3CDTF">2025-12-18T01:29:53Z</dcterms:modified>
</cp:coreProperties>
</file>